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6e2bffdfc7526/Documents/"/>
    </mc:Choice>
  </mc:AlternateContent>
  <xr:revisionPtr revIDLastSave="292" documentId="8_{87A8EB92-0AD5-46F9-8A24-82BC2C2532F4}" xr6:coauthVersionLast="47" xr6:coauthVersionMax="47" xr10:uidLastSave="{A97937B1-2ED5-4A1F-80CC-DE166BD72E79}"/>
  <bookViews>
    <workbookView xWindow="-108" yWindow="-108" windowWidth="23256" windowHeight="12456" activeTab="8" xr2:uid="{48885CBD-1480-4F79-8F0E-EED017DF69F2}"/>
  </bookViews>
  <sheets>
    <sheet name="data type" sheetId="1" r:id="rId1"/>
    <sheet name="Random Between" sheetId="2" r:id="rId2"/>
    <sheet name="Sheet3" sheetId="3" r:id="rId3"/>
    <sheet name="Sheet4" sheetId="4" r:id="rId4"/>
    <sheet name="Sheet1" sheetId="5" r:id="rId5"/>
    <sheet name="Sheet2" sheetId="6" r:id="rId6"/>
    <sheet name="Sheet5" sheetId="7" r:id="rId7"/>
    <sheet name="Sheet6" sheetId="8" r:id="rId8"/>
    <sheet name="Sheet7" sheetId="9" r:id="rId9"/>
  </sheets>
  <definedNames>
    <definedName name="Sales_2025">Sheet7!$B$2:$B$11</definedName>
    <definedName name="Sales_2026">Sheet7!$C$2:$C$11</definedName>
    <definedName name="sales_id">Sheet7!$H$4:$H$8</definedName>
    <definedName name="simple_id">Sheet7!$K$4:$K$9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9" l="1"/>
  <c r="F5" i="9"/>
  <c r="C6" i="8"/>
  <c r="A6" i="8"/>
  <c r="E3" i="8"/>
  <c r="C3" i="8"/>
  <c r="K3" i="7"/>
  <c r="K4" i="7"/>
  <c r="K5" i="7"/>
  <c r="K6" i="7"/>
  <c r="K2" i="7"/>
  <c r="J3" i="7"/>
  <c r="J4" i="7"/>
  <c r="J5" i="7"/>
  <c r="J6" i="7"/>
  <c r="J2" i="7"/>
  <c r="G2" i="7"/>
  <c r="H3" i="7"/>
  <c r="H4" i="7"/>
  <c r="H5" i="7"/>
  <c r="H6" i="7"/>
  <c r="H2" i="7"/>
  <c r="I3" i="7"/>
  <c r="I4" i="7"/>
  <c r="I5" i="7"/>
  <c r="I6" i="7"/>
  <c r="I2" i="7"/>
  <c r="G3" i="7"/>
  <c r="G4" i="7"/>
  <c r="G5" i="7"/>
  <c r="G6" i="7"/>
  <c r="H4" i="6"/>
  <c r="H5" i="6"/>
  <c r="H6" i="6"/>
  <c r="H7" i="6"/>
  <c r="H8" i="6"/>
  <c r="H9" i="6"/>
  <c r="H10" i="6"/>
  <c r="H11" i="6"/>
  <c r="H12" i="6"/>
  <c r="H13" i="6"/>
  <c r="G5" i="6"/>
  <c r="G6" i="6"/>
  <c r="G7" i="6"/>
  <c r="G8" i="6"/>
  <c r="G9" i="6"/>
  <c r="G10" i="6"/>
  <c r="G11" i="6"/>
  <c r="G12" i="6"/>
  <c r="G13" i="6"/>
  <c r="G4" i="6"/>
  <c r="F5" i="6"/>
  <c r="F6" i="6"/>
  <c r="F7" i="6"/>
  <c r="F8" i="6"/>
  <c r="F9" i="6"/>
  <c r="F10" i="6"/>
  <c r="F11" i="6"/>
  <c r="F12" i="6"/>
  <c r="F13" i="6"/>
  <c r="F4" i="6"/>
  <c r="E5" i="6"/>
  <c r="E6" i="6"/>
  <c r="E7" i="6"/>
  <c r="E8" i="6"/>
  <c r="E9" i="6"/>
  <c r="E10" i="6"/>
  <c r="E11" i="6"/>
  <c r="E12" i="6"/>
  <c r="E13" i="6"/>
  <c r="E4" i="6"/>
  <c r="D5" i="6"/>
  <c r="D6" i="6"/>
  <c r="D7" i="6"/>
  <c r="D8" i="6"/>
  <c r="D9" i="6"/>
  <c r="D10" i="6"/>
  <c r="D11" i="6"/>
  <c r="D12" i="6"/>
  <c r="D13" i="6"/>
  <c r="D4" i="6"/>
  <c r="C5" i="6"/>
  <c r="C6" i="6"/>
  <c r="C7" i="6"/>
  <c r="C8" i="6"/>
  <c r="C9" i="6"/>
  <c r="C10" i="6"/>
  <c r="C11" i="6"/>
  <c r="C12" i="6"/>
  <c r="C13" i="6"/>
  <c r="C4" i="6"/>
  <c r="D35" i="5"/>
  <c r="D34" i="5"/>
  <c r="D32" i="5"/>
  <c r="D31" i="5"/>
  <c r="D33" i="5"/>
  <c r="D21" i="5"/>
  <c r="G18" i="5"/>
  <c r="G17" i="5"/>
  <c r="G16" i="5"/>
  <c r="I11" i="5"/>
  <c r="H11" i="5"/>
  <c r="I3" i="5"/>
  <c r="I4" i="5"/>
  <c r="I5" i="5"/>
  <c r="I6" i="5"/>
  <c r="I7" i="5"/>
  <c r="I8" i="5"/>
  <c r="I9" i="5"/>
  <c r="I10" i="5"/>
  <c r="I2" i="5"/>
  <c r="H8" i="5"/>
  <c r="H3" i="5"/>
  <c r="H4" i="5"/>
  <c r="H5" i="5"/>
  <c r="H6" i="5"/>
  <c r="H7" i="5"/>
  <c r="H9" i="5"/>
  <c r="H10" i="5"/>
  <c r="H2" i="5"/>
  <c r="G3" i="5"/>
  <c r="G4" i="5"/>
  <c r="G5" i="5"/>
  <c r="G6" i="5"/>
  <c r="G7" i="5"/>
  <c r="G8" i="5"/>
  <c r="G9" i="5"/>
  <c r="G10" i="5"/>
  <c r="G11" i="5"/>
  <c r="G2" i="5"/>
  <c r="F3" i="5"/>
  <c r="F4" i="5"/>
  <c r="F5" i="5"/>
  <c r="F6" i="5"/>
  <c r="F7" i="5"/>
  <c r="F8" i="5"/>
  <c r="F9" i="5"/>
  <c r="F10" i="5"/>
  <c r="F11" i="5"/>
  <c r="F2" i="5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E6" i="4"/>
  <c r="F6" i="4"/>
  <c r="G6" i="4"/>
  <c r="E7" i="4"/>
  <c r="F7" i="4"/>
  <c r="G7" i="4"/>
  <c r="E8" i="4"/>
  <c r="F8" i="4"/>
  <c r="G8" i="4"/>
  <c r="F5" i="4"/>
  <c r="G5" i="4"/>
  <c r="E5" i="4"/>
  <c r="E2" i="3"/>
  <c r="F3" i="3"/>
  <c r="F4" i="3"/>
  <c r="F5" i="3"/>
  <c r="F6" i="3"/>
  <c r="F7" i="3"/>
  <c r="F8" i="3"/>
  <c r="F9" i="3"/>
  <c r="F10" i="3"/>
  <c r="F11" i="3"/>
  <c r="F2" i="3"/>
  <c r="E10" i="3"/>
  <c r="E11" i="3"/>
  <c r="E9" i="3"/>
  <c r="E8" i="3"/>
  <c r="E7" i="3"/>
  <c r="E6" i="3"/>
  <c r="E5" i="3"/>
  <c r="E4" i="3"/>
  <c r="E3" i="3"/>
  <c r="A6" i="2"/>
  <c r="A10" i="2"/>
  <c r="A2" i="2"/>
  <c r="A11" i="2"/>
  <c r="A9" i="2"/>
  <c r="A4" i="2"/>
  <c r="A3" i="2"/>
  <c r="A5" i="2"/>
  <c r="A7" i="2"/>
  <c r="A8" i="2"/>
  <c r="A12" i="2"/>
  <c r="A13" i="2"/>
  <c r="A14" i="2"/>
  <c r="E2" i="1"/>
  <c r="E1" i="1"/>
  <c r="D2" i="1"/>
  <c r="C2" i="1"/>
  <c r="B2" i="1"/>
  <c r="A2" i="1"/>
  <c r="C14" i="4" l="1"/>
  <c r="F9" i="4"/>
</calcChain>
</file>

<file path=xl/sharedStrings.xml><?xml version="1.0" encoding="utf-8"?>
<sst xmlns="http://schemas.openxmlformats.org/spreadsheetml/2006/main" count="96" uniqueCount="73">
  <si>
    <t>excel</t>
  </si>
  <si>
    <t>number</t>
  </si>
  <si>
    <t>string</t>
  </si>
  <si>
    <t>boolean</t>
  </si>
  <si>
    <t>error</t>
  </si>
  <si>
    <t>decimal</t>
  </si>
  <si>
    <t>A</t>
  </si>
  <si>
    <t>3.Mixed cell referencing</t>
  </si>
  <si>
    <t>Cell referencing</t>
  </si>
  <si>
    <t>1. Relative cell referencing</t>
  </si>
  <si>
    <t>2. Absolute cell referencing</t>
  </si>
  <si>
    <t>student 1</t>
  </si>
  <si>
    <t>student 2</t>
  </si>
  <si>
    <t>total marks</t>
  </si>
  <si>
    <t>excel automatically do the relations is called relative cell referencing</t>
  </si>
  <si>
    <t>final total</t>
  </si>
  <si>
    <t>when you freeze both row and column this is called absolute cell referencing(using $symbol)</t>
  </si>
  <si>
    <t>either u freeze row or column is called mixed cell referencing</t>
  </si>
  <si>
    <t>price\qty</t>
  </si>
  <si>
    <t>price</t>
  </si>
  <si>
    <t>B</t>
  </si>
  <si>
    <t>SUBSTRACTION</t>
  </si>
  <si>
    <t>Multi</t>
  </si>
  <si>
    <t>Product</t>
  </si>
  <si>
    <t>DIVISION</t>
  </si>
  <si>
    <t>Addition</t>
  </si>
  <si>
    <t>Exponential</t>
  </si>
  <si>
    <t>Power</t>
  </si>
  <si>
    <t>modulo</t>
  </si>
  <si>
    <t>quotient</t>
  </si>
  <si>
    <t>natural log of 100=</t>
  </si>
  <si>
    <t>euler=2.718</t>
  </si>
  <si>
    <t>square root =</t>
  </si>
  <si>
    <t>Aggregated functions</t>
  </si>
  <si>
    <t>sum</t>
  </si>
  <si>
    <t>average</t>
  </si>
  <si>
    <t>count</t>
  </si>
  <si>
    <t>Min</t>
  </si>
  <si>
    <t>max</t>
  </si>
  <si>
    <t>LOGICAL FUNCTIONS</t>
  </si>
  <si>
    <t>Result _A</t>
  </si>
  <si>
    <t>Result_B</t>
  </si>
  <si>
    <t>A&amp;B</t>
  </si>
  <si>
    <t>AND</t>
  </si>
  <si>
    <t>OR</t>
  </si>
  <si>
    <t>NOT(A)</t>
  </si>
  <si>
    <t>NOT(B)</t>
  </si>
  <si>
    <t>0=FALSE</t>
  </si>
  <si>
    <t>1=TRUE</t>
  </si>
  <si>
    <t>A  OR B</t>
  </si>
  <si>
    <t>IF+NOT(A)</t>
  </si>
  <si>
    <t>sr.no</t>
  </si>
  <si>
    <t>Name</t>
  </si>
  <si>
    <t>Sales</t>
  </si>
  <si>
    <t>Attendance</t>
  </si>
  <si>
    <t>Training Data</t>
  </si>
  <si>
    <t>arshi</t>
  </si>
  <si>
    <t>anju</t>
  </si>
  <si>
    <t>aarthi</t>
  </si>
  <si>
    <t>eva</t>
  </si>
  <si>
    <t>chaty</t>
  </si>
  <si>
    <t>yes</t>
  </si>
  <si>
    <t>no</t>
  </si>
  <si>
    <t>Target</t>
  </si>
  <si>
    <t>Bonus</t>
  </si>
  <si>
    <t>Eligiblereview</t>
  </si>
  <si>
    <t>Pending</t>
  </si>
  <si>
    <t>SALES</t>
  </si>
  <si>
    <t>Price</t>
  </si>
  <si>
    <t>Quantity</t>
  </si>
  <si>
    <t>Total Amount</t>
  </si>
  <si>
    <t>Discount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</si>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</sst>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C179-5B7A-4B89-AFC6-C998885CCD88}">
  <dimension ref="A1:E4"/>
  <sheetViews>
    <sheetView workbookViewId="0">
      <selection activeCell="A8" sqref="A8"/>
    </sheetView>
  </sheetViews>
  <sheetFormatPr defaultRowHeight="14.4" x14ac:dyDescent="0.3"/>
  <cols>
    <col min="4" max="4" width="10.33203125" bestFit="1" customWidth="1"/>
  </cols>
  <sheetData>
    <row r="1" spans="1:5" x14ac:dyDescent="0.3">
      <c r="A1">
        <v>8.6</v>
      </c>
      <c r="B1" t="s">
        <v>0</v>
      </c>
      <c r="C1" t="b">
        <v>1</v>
      </c>
      <c r="D1" s="1">
        <v>46296</v>
      </c>
      <c r="E1" t="e">
        <f>10/0</f>
        <v>#DIV/0!</v>
      </c>
    </row>
    <row r="2" spans="1:5" x14ac:dyDescent="0.3">
      <c r="A2">
        <f>TYPE(A1)</f>
        <v>1</v>
      </c>
      <c r="B2">
        <f>TYPE(B1)</f>
        <v>2</v>
      </c>
      <c r="C2">
        <f>TYPE(C1)</f>
        <v>4</v>
      </c>
      <c r="D2">
        <f>TYPE(D1)</f>
        <v>1</v>
      </c>
      <c r="E2">
        <f>TYPE(E1)</f>
        <v>16</v>
      </c>
    </row>
    <row r="3" spans="1:5" x14ac:dyDescent="0.3">
      <c r="A3" t="s">
        <v>1</v>
      </c>
      <c r="B3" t="s">
        <v>2</v>
      </c>
      <c r="C3" t="s">
        <v>3</v>
      </c>
      <c r="D3" t="s">
        <v>1</v>
      </c>
      <c r="E3" t="s">
        <v>4</v>
      </c>
    </row>
    <row r="4" spans="1:5" x14ac:dyDescent="0.3">
      <c r="A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1E25-065C-48DC-A0B9-82572AA5C53A}">
  <dimension ref="A1:C14"/>
  <sheetViews>
    <sheetView zoomScale="134" workbookViewId="0">
      <selection activeCell="D15" sqref="D15"/>
    </sheetView>
  </sheetViews>
  <sheetFormatPr defaultRowHeight="14.4" x14ac:dyDescent="0.3"/>
  <sheetData>
    <row r="1" spans="1:3" x14ac:dyDescent="0.3">
      <c r="A1" t="s">
        <v>6</v>
      </c>
    </row>
    <row r="2" spans="1:3" x14ac:dyDescent="0.3">
      <c r="A2">
        <f ca="1">RANDBETWEEN(10,100)</f>
        <v>39</v>
      </c>
      <c r="C2">
        <v>15</v>
      </c>
    </row>
    <row r="3" spans="1:3" x14ac:dyDescent="0.3">
      <c r="A3">
        <f t="shared" ref="A3:A14" ca="1" si="0">RANDBETWEEN(10,100)</f>
        <v>83</v>
      </c>
      <c r="C3">
        <v>9</v>
      </c>
    </row>
    <row r="4" spans="1:3" x14ac:dyDescent="0.3">
      <c r="A4">
        <f ca="1">RANDBETWEEN(10,100)</f>
        <v>46</v>
      </c>
      <c r="C4">
        <v>6</v>
      </c>
    </row>
    <row r="5" spans="1:3" x14ac:dyDescent="0.3">
      <c r="A5">
        <f t="shared" ca="1" si="0"/>
        <v>19</v>
      </c>
      <c r="C5">
        <v>15</v>
      </c>
    </row>
    <row r="6" spans="1:3" x14ac:dyDescent="0.3">
      <c r="A6">
        <f ca="1">RANDBETWEEN(10,100)</f>
        <v>87</v>
      </c>
      <c r="C6">
        <v>11</v>
      </c>
    </row>
    <row r="7" spans="1:3" x14ac:dyDescent="0.3">
      <c r="A7">
        <f t="shared" ca="1" si="0"/>
        <v>25</v>
      </c>
      <c r="C7">
        <v>6</v>
      </c>
    </row>
    <row r="8" spans="1:3" x14ac:dyDescent="0.3">
      <c r="A8">
        <f t="shared" ca="1" si="0"/>
        <v>83</v>
      </c>
      <c r="C8">
        <v>15</v>
      </c>
    </row>
    <row r="9" spans="1:3" x14ac:dyDescent="0.3">
      <c r="A9">
        <f ca="1">RANDBETWEEN(10,100)</f>
        <v>43</v>
      </c>
      <c r="C9">
        <v>14</v>
      </c>
    </row>
    <row r="10" spans="1:3" x14ac:dyDescent="0.3">
      <c r="A10">
        <f ca="1">RANDBETWEEN(10,100)</f>
        <v>94</v>
      </c>
      <c r="C10">
        <v>15</v>
      </c>
    </row>
    <row r="11" spans="1:3" x14ac:dyDescent="0.3">
      <c r="A11">
        <f ca="1">RANDBETWEEN(10,100)</f>
        <v>30</v>
      </c>
      <c r="C11">
        <v>3</v>
      </c>
    </row>
    <row r="12" spans="1:3" x14ac:dyDescent="0.3">
      <c r="A12">
        <f t="shared" ca="1" si="0"/>
        <v>91</v>
      </c>
    </row>
    <row r="13" spans="1:3" x14ac:dyDescent="0.3">
      <c r="A13">
        <f t="shared" ca="1" si="0"/>
        <v>12</v>
      </c>
    </row>
    <row r="14" spans="1:3" x14ac:dyDescent="0.3">
      <c r="A14">
        <f t="shared" ca="1" si="0"/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1740-611F-487E-A166-2599B39BE772}">
  <dimension ref="A1:H15"/>
  <sheetViews>
    <sheetView workbookViewId="0">
      <selection activeCell="H2" sqref="H2"/>
    </sheetView>
  </sheetViews>
  <sheetFormatPr defaultRowHeight="14.4" x14ac:dyDescent="0.3"/>
  <cols>
    <col min="1" max="1" width="77" bestFit="1" customWidth="1"/>
    <col min="5" max="5" width="11.44140625" customWidth="1"/>
  </cols>
  <sheetData>
    <row r="1" spans="1:8" x14ac:dyDescent="0.3">
      <c r="A1" t="s">
        <v>8</v>
      </c>
      <c r="C1" t="s">
        <v>11</v>
      </c>
      <c r="D1" t="s">
        <v>12</v>
      </c>
      <c r="E1" t="s">
        <v>13</v>
      </c>
      <c r="F1" t="s">
        <v>15</v>
      </c>
    </row>
    <row r="2" spans="1:8" x14ac:dyDescent="0.3">
      <c r="A2" t="s">
        <v>9</v>
      </c>
      <c r="C2">
        <v>65</v>
      </c>
      <c r="D2">
        <v>46</v>
      </c>
      <c r="E2">
        <f t="shared" ref="E2:E9" si="0">C2+D2</f>
        <v>111</v>
      </c>
      <c r="F2">
        <f>E2+$H$2</f>
        <v>131</v>
      </c>
      <c r="H2">
        <v>20</v>
      </c>
    </row>
    <row r="3" spans="1:8" x14ac:dyDescent="0.3">
      <c r="A3" t="s">
        <v>10</v>
      </c>
      <c r="C3">
        <v>73</v>
      </c>
      <c r="D3">
        <v>85</v>
      </c>
      <c r="E3">
        <f t="shared" si="0"/>
        <v>158</v>
      </c>
      <c r="F3">
        <f t="shared" ref="F3:F11" si="1">E3+$H$2</f>
        <v>178</v>
      </c>
    </row>
    <row r="4" spans="1:8" x14ac:dyDescent="0.3">
      <c r="A4" t="s">
        <v>7</v>
      </c>
      <c r="C4">
        <v>73</v>
      </c>
      <c r="D4">
        <v>94</v>
      </c>
      <c r="E4">
        <f t="shared" si="0"/>
        <v>167</v>
      </c>
      <c r="F4">
        <f t="shared" si="1"/>
        <v>187</v>
      </c>
    </row>
    <row r="5" spans="1:8" x14ac:dyDescent="0.3">
      <c r="C5">
        <v>73</v>
      </c>
      <c r="D5">
        <v>32</v>
      </c>
      <c r="E5">
        <f t="shared" si="0"/>
        <v>105</v>
      </c>
      <c r="F5">
        <f t="shared" si="1"/>
        <v>125</v>
      </c>
    </row>
    <row r="6" spans="1:8" x14ac:dyDescent="0.3">
      <c r="C6">
        <v>73</v>
      </c>
      <c r="D6">
        <v>63</v>
      </c>
      <c r="E6">
        <f t="shared" si="0"/>
        <v>136</v>
      </c>
      <c r="F6">
        <f t="shared" si="1"/>
        <v>156</v>
      </c>
    </row>
    <row r="7" spans="1:8" x14ac:dyDescent="0.3">
      <c r="C7">
        <v>73</v>
      </c>
      <c r="D7">
        <v>11</v>
      </c>
      <c r="E7">
        <f t="shared" si="0"/>
        <v>84</v>
      </c>
      <c r="F7">
        <f t="shared" si="1"/>
        <v>104</v>
      </c>
    </row>
    <row r="8" spans="1:8" x14ac:dyDescent="0.3">
      <c r="C8">
        <v>73</v>
      </c>
      <c r="D8">
        <v>55</v>
      </c>
      <c r="E8">
        <f t="shared" si="0"/>
        <v>128</v>
      </c>
      <c r="F8">
        <f t="shared" si="1"/>
        <v>148</v>
      </c>
    </row>
    <row r="9" spans="1:8" x14ac:dyDescent="0.3">
      <c r="C9">
        <v>73</v>
      </c>
      <c r="D9">
        <v>48</v>
      </c>
      <c r="E9">
        <f t="shared" si="0"/>
        <v>121</v>
      </c>
      <c r="F9">
        <f t="shared" si="1"/>
        <v>141</v>
      </c>
    </row>
    <row r="10" spans="1:8" x14ac:dyDescent="0.3">
      <c r="C10">
        <v>73</v>
      </c>
      <c r="D10">
        <v>23</v>
      </c>
      <c r="E10">
        <f t="shared" ref="E10:E11" si="2">C10+D10</f>
        <v>96</v>
      </c>
      <c r="F10">
        <f t="shared" si="1"/>
        <v>116</v>
      </c>
    </row>
    <row r="11" spans="1:8" x14ac:dyDescent="0.3">
      <c r="C11">
        <v>73</v>
      </c>
      <c r="D11">
        <v>31</v>
      </c>
      <c r="E11">
        <f t="shared" si="2"/>
        <v>104</v>
      </c>
      <c r="F11">
        <f t="shared" si="1"/>
        <v>124</v>
      </c>
    </row>
    <row r="13" spans="1:8" x14ac:dyDescent="0.3">
      <c r="A13" t="s">
        <v>14</v>
      </c>
    </row>
    <row r="14" spans="1:8" x14ac:dyDescent="0.3">
      <c r="A14" t="s">
        <v>16</v>
      </c>
    </row>
    <row r="15" spans="1:8" x14ac:dyDescent="0.3">
      <c r="A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543-BD1D-4EA5-A0DE-73A56818BFFC}">
  <dimension ref="B4:G17"/>
  <sheetViews>
    <sheetView workbookViewId="0">
      <selection activeCell="P3" sqref="P3"/>
    </sheetView>
  </sheetViews>
  <sheetFormatPr defaultRowHeight="14.4" x14ac:dyDescent="0.3"/>
  <sheetData>
    <row r="4" spans="2:7" x14ac:dyDescent="0.3">
      <c r="D4" t="s">
        <v>18</v>
      </c>
      <c r="E4">
        <v>10</v>
      </c>
      <c r="F4">
        <v>12</v>
      </c>
      <c r="G4">
        <v>15</v>
      </c>
    </row>
    <row r="5" spans="2:7" x14ac:dyDescent="0.3">
      <c r="D5">
        <v>100</v>
      </c>
      <c r="E5">
        <f>$D5*E$4</f>
        <v>1000</v>
      </c>
      <c r="F5">
        <f t="shared" ref="F5:G8" si="0">$D5*F$4</f>
        <v>1200</v>
      </c>
      <c r="G5">
        <f t="shared" si="0"/>
        <v>1500</v>
      </c>
    </row>
    <row r="6" spans="2:7" x14ac:dyDescent="0.3">
      <c r="D6">
        <v>120</v>
      </c>
      <c r="E6">
        <f t="shared" ref="E6:E8" si="1">$D6*E$4</f>
        <v>1200</v>
      </c>
      <c r="F6">
        <f t="shared" si="0"/>
        <v>1440</v>
      </c>
      <c r="G6">
        <f t="shared" si="0"/>
        <v>1800</v>
      </c>
    </row>
    <row r="7" spans="2:7" x14ac:dyDescent="0.3">
      <c r="D7">
        <v>140</v>
      </c>
      <c r="E7">
        <f t="shared" si="1"/>
        <v>1400</v>
      </c>
      <c r="F7">
        <f t="shared" si="0"/>
        <v>1680</v>
      </c>
      <c r="G7">
        <f t="shared" si="0"/>
        <v>2100</v>
      </c>
    </row>
    <row r="8" spans="2:7" x14ac:dyDescent="0.3">
      <c r="D8">
        <v>130</v>
      </c>
      <c r="E8">
        <f t="shared" si="1"/>
        <v>1300</v>
      </c>
      <c r="F8">
        <f t="shared" si="0"/>
        <v>1560</v>
      </c>
      <c r="G8">
        <f t="shared" si="0"/>
        <v>1950</v>
      </c>
    </row>
    <row r="9" spans="2:7" x14ac:dyDescent="0.3">
      <c r="F9">
        <f t="shared" ref="F9" si="2">E9*$E8</f>
        <v>0</v>
      </c>
    </row>
    <row r="13" spans="2:7" x14ac:dyDescent="0.3">
      <c r="B13" t="s">
        <v>19</v>
      </c>
      <c r="C13">
        <v>10</v>
      </c>
      <c r="D13">
        <v>7</v>
      </c>
      <c r="E13">
        <v>2</v>
      </c>
    </row>
    <row r="14" spans="2:7" x14ac:dyDescent="0.3">
      <c r="B14">
        <v>100</v>
      </c>
      <c r="C14">
        <f>B14*E5</f>
        <v>100000</v>
      </c>
    </row>
    <row r="15" spans="2:7" x14ac:dyDescent="0.3">
      <c r="B15">
        <v>20</v>
      </c>
    </row>
    <row r="16" spans="2:7" x14ac:dyDescent="0.3">
      <c r="B16">
        <v>30</v>
      </c>
    </row>
    <row r="17" spans="2:2" x14ac:dyDescent="0.3">
      <c r="B17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114D-B0BA-4DFC-8649-E783DA1F51F4}">
  <dimension ref="A1:I40"/>
  <sheetViews>
    <sheetView workbookViewId="0">
      <selection sqref="A1:B11"/>
    </sheetView>
  </sheetViews>
  <sheetFormatPr defaultRowHeight="14.4" x14ac:dyDescent="0.3"/>
  <cols>
    <col min="3" max="3" width="13.44140625" customWidth="1"/>
    <col min="4" max="4" width="16.44140625" bestFit="1" customWidth="1"/>
    <col min="8" max="8" width="10.5546875" bestFit="1" customWidth="1"/>
  </cols>
  <sheetData>
    <row r="1" spans="1:9" x14ac:dyDescent="0.3">
      <c r="A1" t="s">
        <v>6</v>
      </c>
      <c r="B1" t="s">
        <v>20</v>
      </c>
      <c r="C1" t="s">
        <v>25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27</v>
      </c>
    </row>
    <row r="2" spans="1:9" x14ac:dyDescent="0.3">
      <c r="A2">
        <v>64</v>
      </c>
      <c r="B2">
        <v>44</v>
      </c>
      <c r="C2">
        <f>A2+B2</f>
        <v>108</v>
      </c>
      <c r="D2">
        <f>A2-B2</f>
        <v>20</v>
      </c>
      <c r="E2">
        <f>A2*B2</f>
        <v>2816</v>
      </c>
      <c r="F2">
        <f>PRODUCT(A2,B2)</f>
        <v>2816</v>
      </c>
      <c r="G2">
        <f>A2/B2</f>
        <v>1.4545454545454546</v>
      </c>
      <c r="H2">
        <f>A2^2</f>
        <v>4096</v>
      </c>
      <c r="I2">
        <f>POWER(A2,2)</f>
        <v>4096</v>
      </c>
    </row>
    <row r="3" spans="1:9" x14ac:dyDescent="0.3">
      <c r="A3">
        <v>81</v>
      </c>
      <c r="B3">
        <v>53</v>
      </c>
      <c r="C3">
        <f t="shared" ref="C3:C11" si="0">A3+B3</f>
        <v>134</v>
      </c>
      <c r="D3">
        <f t="shared" ref="D3:D11" si="1">A3-B3</f>
        <v>28</v>
      </c>
      <c r="E3">
        <f t="shared" ref="E3:E11" si="2">A3*B3</f>
        <v>4293</v>
      </c>
      <c r="F3">
        <f t="shared" ref="F3:F11" si="3">PRODUCT(A3,B3)</f>
        <v>4293</v>
      </c>
      <c r="G3">
        <f t="shared" ref="G3:G11" si="4">A3/B3</f>
        <v>1.5283018867924529</v>
      </c>
      <c r="H3">
        <f t="shared" ref="H3:H11" si="5">A3^2</f>
        <v>6561</v>
      </c>
      <c r="I3">
        <f t="shared" ref="I3:I11" si="6">POWER(A3,2)</f>
        <v>6561</v>
      </c>
    </row>
    <row r="4" spans="1:9" x14ac:dyDescent="0.3">
      <c r="A4">
        <v>66</v>
      </c>
      <c r="B4">
        <v>25</v>
      </c>
      <c r="C4">
        <f t="shared" si="0"/>
        <v>91</v>
      </c>
      <c r="D4">
        <f t="shared" si="1"/>
        <v>41</v>
      </c>
      <c r="E4">
        <f t="shared" si="2"/>
        <v>1650</v>
      </c>
      <c r="F4">
        <f t="shared" si="3"/>
        <v>1650</v>
      </c>
      <c r="G4">
        <f t="shared" si="4"/>
        <v>2.64</v>
      </c>
      <c r="H4">
        <f t="shared" si="5"/>
        <v>4356</v>
      </c>
      <c r="I4">
        <f t="shared" si="6"/>
        <v>4356</v>
      </c>
    </row>
    <row r="5" spans="1:9" x14ac:dyDescent="0.3">
      <c r="A5">
        <v>18</v>
      </c>
      <c r="B5">
        <v>18</v>
      </c>
      <c r="C5">
        <f t="shared" si="0"/>
        <v>36</v>
      </c>
      <c r="D5">
        <f t="shared" si="1"/>
        <v>0</v>
      </c>
      <c r="E5">
        <f t="shared" si="2"/>
        <v>324</v>
      </c>
      <c r="F5">
        <f t="shared" si="3"/>
        <v>324</v>
      </c>
      <c r="G5">
        <f t="shared" si="4"/>
        <v>1</v>
      </c>
      <c r="H5">
        <f t="shared" si="5"/>
        <v>324</v>
      </c>
      <c r="I5">
        <f t="shared" si="6"/>
        <v>324</v>
      </c>
    </row>
    <row r="6" spans="1:9" x14ac:dyDescent="0.3">
      <c r="A6">
        <v>72</v>
      </c>
      <c r="B6">
        <v>10</v>
      </c>
      <c r="C6">
        <f t="shared" si="0"/>
        <v>82</v>
      </c>
      <c r="D6">
        <f t="shared" si="1"/>
        <v>62</v>
      </c>
      <c r="E6">
        <f t="shared" si="2"/>
        <v>720</v>
      </c>
      <c r="F6">
        <f t="shared" si="3"/>
        <v>720</v>
      </c>
      <c r="G6">
        <f t="shared" si="4"/>
        <v>7.2</v>
      </c>
      <c r="H6">
        <f t="shared" si="5"/>
        <v>5184</v>
      </c>
      <c r="I6">
        <f t="shared" si="6"/>
        <v>5184</v>
      </c>
    </row>
    <row r="7" spans="1:9" x14ac:dyDescent="0.3">
      <c r="A7">
        <v>15</v>
      </c>
      <c r="B7">
        <v>51</v>
      </c>
      <c r="C7">
        <f t="shared" si="0"/>
        <v>66</v>
      </c>
      <c r="D7">
        <f t="shared" si="1"/>
        <v>-36</v>
      </c>
      <c r="E7">
        <f t="shared" si="2"/>
        <v>765</v>
      </c>
      <c r="F7">
        <f t="shared" si="3"/>
        <v>765</v>
      </c>
      <c r="G7">
        <f t="shared" si="4"/>
        <v>0.29411764705882354</v>
      </c>
      <c r="H7">
        <f t="shared" si="5"/>
        <v>225</v>
      </c>
      <c r="I7">
        <f t="shared" si="6"/>
        <v>225</v>
      </c>
    </row>
    <row r="8" spans="1:9" x14ac:dyDescent="0.3">
      <c r="A8">
        <v>39</v>
      </c>
      <c r="B8">
        <v>75</v>
      </c>
      <c r="C8">
        <f t="shared" si="0"/>
        <v>114</v>
      </c>
      <c r="D8">
        <f t="shared" si="1"/>
        <v>-36</v>
      </c>
      <c r="E8">
        <f t="shared" si="2"/>
        <v>2925</v>
      </c>
      <c r="F8">
        <f t="shared" si="3"/>
        <v>2925</v>
      </c>
      <c r="G8">
        <f t="shared" si="4"/>
        <v>0.52</v>
      </c>
      <c r="H8">
        <f>A8^2</f>
        <v>1521</v>
      </c>
      <c r="I8">
        <f t="shared" si="6"/>
        <v>1521</v>
      </c>
    </row>
    <row r="9" spans="1:9" x14ac:dyDescent="0.3">
      <c r="A9">
        <v>52</v>
      </c>
      <c r="B9">
        <v>56</v>
      </c>
      <c r="C9">
        <f t="shared" si="0"/>
        <v>108</v>
      </c>
      <c r="D9">
        <f t="shared" si="1"/>
        <v>-4</v>
      </c>
      <c r="E9">
        <f t="shared" si="2"/>
        <v>2912</v>
      </c>
      <c r="F9">
        <f t="shared" si="3"/>
        <v>2912</v>
      </c>
      <c r="G9">
        <f t="shared" si="4"/>
        <v>0.9285714285714286</v>
      </c>
      <c r="H9">
        <f t="shared" si="5"/>
        <v>2704</v>
      </c>
      <c r="I9">
        <f t="shared" si="6"/>
        <v>2704</v>
      </c>
    </row>
    <row r="10" spans="1:9" x14ac:dyDescent="0.3">
      <c r="A10">
        <v>52</v>
      </c>
      <c r="B10">
        <v>67</v>
      </c>
      <c r="C10">
        <f t="shared" si="0"/>
        <v>119</v>
      </c>
      <c r="D10">
        <f t="shared" si="1"/>
        <v>-15</v>
      </c>
      <c r="E10">
        <f t="shared" si="2"/>
        <v>3484</v>
      </c>
      <c r="F10">
        <f t="shared" si="3"/>
        <v>3484</v>
      </c>
      <c r="G10">
        <f t="shared" si="4"/>
        <v>0.77611940298507465</v>
      </c>
      <c r="H10">
        <f t="shared" si="5"/>
        <v>2704</v>
      </c>
      <c r="I10">
        <f t="shared" si="6"/>
        <v>2704</v>
      </c>
    </row>
    <row r="11" spans="1:9" x14ac:dyDescent="0.3">
      <c r="A11">
        <v>20</v>
      </c>
      <c r="B11">
        <v>92</v>
      </c>
      <c r="C11">
        <f t="shared" si="0"/>
        <v>112</v>
      </c>
      <c r="D11">
        <f t="shared" si="1"/>
        <v>-72</v>
      </c>
      <c r="E11">
        <f t="shared" si="2"/>
        <v>1840</v>
      </c>
      <c r="F11">
        <f t="shared" si="3"/>
        <v>1840</v>
      </c>
      <c r="G11">
        <f t="shared" si="4"/>
        <v>0.21739130434782608</v>
      </c>
      <c r="H11">
        <f t="shared" si="5"/>
        <v>400</v>
      </c>
      <c r="I11">
        <f t="shared" si="6"/>
        <v>400</v>
      </c>
    </row>
    <row r="16" spans="1:9" x14ac:dyDescent="0.3">
      <c r="G16">
        <f>MOD(10,5)</f>
        <v>0</v>
      </c>
      <c r="H16" t="s">
        <v>28</v>
      </c>
    </row>
    <row r="17" spans="1:8" x14ac:dyDescent="0.3">
      <c r="G17">
        <f>QUOTIENT(15,3)</f>
        <v>5</v>
      </c>
      <c r="H17" t="s">
        <v>29</v>
      </c>
    </row>
    <row r="18" spans="1:8" x14ac:dyDescent="0.3">
      <c r="D18" t="s">
        <v>30</v>
      </c>
      <c r="G18">
        <f>LN(100)</f>
        <v>4.6051701859880918</v>
      </c>
    </row>
    <row r="19" spans="1:8" x14ac:dyDescent="0.3">
      <c r="D19" t="s">
        <v>31</v>
      </c>
    </row>
    <row r="21" spans="1:8" x14ac:dyDescent="0.3">
      <c r="C21" t="s">
        <v>32</v>
      </c>
      <c r="D21">
        <f>SQRT(B6)</f>
        <v>3.1622776601683795</v>
      </c>
    </row>
    <row r="29" spans="1:8" x14ac:dyDescent="0.3">
      <c r="C29" s="2" t="s">
        <v>33</v>
      </c>
    </row>
    <row r="30" spans="1:8" x14ac:dyDescent="0.3">
      <c r="A30" t="s">
        <v>6</v>
      </c>
    </row>
    <row r="31" spans="1:8" x14ac:dyDescent="0.3">
      <c r="A31">
        <v>64</v>
      </c>
      <c r="C31" t="s">
        <v>34</v>
      </c>
      <c r="D31">
        <f>SUM(A31:A40)</f>
        <v>479</v>
      </c>
    </row>
    <row r="32" spans="1:8" x14ac:dyDescent="0.3">
      <c r="A32">
        <v>81</v>
      </c>
      <c r="C32" t="s">
        <v>35</v>
      </c>
      <c r="D32">
        <f>ROUND(AVERAGE(A31:A40),1)</f>
        <v>47.9</v>
      </c>
    </row>
    <row r="33" spans="1:4" x14ac:dyDescent="0.3">
      <c r="A33">
        <v>66</v>
      </c>
      <c r="C33" t="s">
        <v>36</v>
      </c>
      <c r="D33">
        <f>COUNT(A31:A40)</f>
        <v>10</v>
      </c>
    </row>
    <row r="34" spans="1:4" x14ac:dyDescent="0.3">
      <c r="A34">
        <v>18</v>
      </c>
      <c r="C34" t="s">
        <v>37</v>
      </c>
      <c r="D34">
        <f>MIN(A31:A40)</f>
        <v>15</v>
      </c>
    </row>
    <row r="35" spans="1:4" x14ac:dyDescent="0.3">
      <c r="A35">
        <v>72</v>
      </c>
      <c r="C35" t="s">
        <v>38</v>
      </c>
      <c r="D35">
        <f>MAX(A31:A40)</f>
        <v>81</v>
      </c>
    </row>
    <row r="36" spans="1:4" x14ac:dyDescent="0.3">
      <c r="A36">
        <v>15</v>
      </c>
    </row>
    <row r="37" spans="1:4" x14ac:dyDescent="0.3">
      <c r="A37">
        <v>39</v>
      </c>
    </row>
    <row r="38" spans="1:4" x14ac:dyDescent="0.3">
      <c r="A38">
        <v>52</v>
      </c>
    </row>
    <row r="39" spans="1:4" x14ac:dyDescent="0.3">
      <c r="A39">
        <v>52</v>
      </c>
    </row>
    <row r="40" spans="1:4" x14ac:dyDescent="0.3">
      <c r="A40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226D-5763-46A0-9727-C6A1F86DBE24}">
  <dimension ref="A1:K22"/>
  <sheetViews>
    <sheetView topLeftCell="A2" workbookViewId="0">
      <selection activeCell="A3" sqref="A3:B13"/>
    </sheetView>
  </sheetViews>
  <sheetFormatPr defaultRowHeight="14.4" x14ac:dyDescent="0.3"/>
  <cols>
    <col min="5" max="5" width="10.21875" bestFit="1" customWidth="1"/>
    <col min="6" max="6" width="11.21875" bestFit="1" customWidth="1"/>
  </cols>
  <sheetData>
    <row r="1" spans="1:8" x14ac:dyDescent="0.3">
      <c r="C1" s="2" t="s">
        <v>39</v>
      </c>
    </row>
    <row r="3" spans="1:8" x14ac:dyDescent="0.3">
      <c r="A3" t="s">
        <v>6</v>
      </c>
      <c r="B3" t="s">
        <v>20</v>
      </c>
      <c r="C3" t="s">
        <v>40</v>
      </c>
      <c r="D3" t="s">
        <v>41</v>
      </c>
      <c r="E3" t="s">
        <v>42</v>
      </c>
      <c r="F3" t="s">
        <v>49</v>
      </c>
      <c r="G3" t="s">
        <v>50</v>
      </c>
      <c r="H3" t="s">
        <v>50</v>
      </c>
    </row>
    <row r="4" spans="1:8" x14ac:dyDescent="0.3">
      <c r="A4">
        <v>64</v>
      </c>
      <c r="B4">
        <v>44</v>
      </c>
      <c r="C4" t="str">
        <f>IF(A4&gt;=50,"TRUE","FALSE")</f>
        <v>TRUE</v>
      </c>
      <c r="D4" t="str">
        <f>IF(B4&gt;=50,"true","false")</f>
        <v>false</v>
      </c>
      <c r="E4" t="str">
        <f>IF(AND(A4&gt;=50,B4&gt;=50),"Eligible","Not Eligible")</f>
        <v>Not Eligible</v>
      </c>
      <c r="F4" t="str">
        <f>IF(OR(A4&gt;=50,B4&gt;=50),"Eligiblity","Not Eligiblity")</f>
        <v>Eligiblity</v>
      </c>
      <c r="G4" t="str">
        <f>IF(NOT(A4&gt;=50),"YES","NO")</f>
        <v>NO</v>
      </c>
      <c r="H4" t="str">
        <f>IF(A4&gt;=90,"Grade A",IF(A4&gt;=75,"Grade B",IF(A4&gt;=50,"Grade C","Grade F")))</f>
        <v>Grade C</v>
      </c>
    </row>
    <row r="5" spans="1:8" x14ac:dyDescent="0.3">
      <c r="A5">
        <v>81</v>
      </c>
      <c r="B5">
        <v>53</v>
      </c>
      <c r="C5" t="str">
        <f t="shared" ref="C5:C13" si="0">IF(A5&gt;=50,"TRUE","FALSE")</f>
        <v>TRUE</v>
      </c>
      <c r="D5" t="str">
        <f t="shared" ref="D5:D13" si="1">IF(B5&gt;=50,"true","false")</f>
        <v>true</v>
      </c>
      <c r="E5" t="str">
        <f t="shared" ref="E5:E13" si="2">IF(AND(A5&gt;=50,B5&gt;=50),"Eligible","Not Eligible")</f>
        <v>Eligible</v>
      </c>
      <c r="F5" t="str">
        <f t="shared" ref="F5:F13" si="3">IF(OR(A5&gt;=50,B5&gt;=50),"Eligiblity","Not Eligiblity")</f>
        <v>Eligiblity</v>
      </c>
      <c r="G5" t="str">
        <f t="shared" ref="G5:G13" si="4">IF(NOT(A5&gt;=50),"YES","NO")</f>
        <v>NO</v>
      </c>
      <c r="H5" t="str">
        <f t="shared" ref="H5:H13" si="5">IF(A5&gt;=90,"Grade A",IF(A5&gt;=75,"Grade B",IF(A5&gt;=50,"Grade C","Grade F")))</f>
        <v>Grade B</v>
      </c>
    </row>
    <row r="6" spans="1:8" x14ac:dyDescent="0.3">
      <c r="A6">
        <v>66</v>
      </c>
      <c r="B6">
        <v>25</v>
      </c>
      <c r="C6" t="str">
        <f t="shared" si="0"/>
        <v>TRUE</v>
      </c>
      <c r="D6" t="str">
        <f t="shared" si="1"/>
        <v>false</v>
      </c>
      <c r="E6" t="str">
        <f t="shared" si="2"/>
        <v>Not Eligible</v>
      </c>
      <c r="F6" t="str">
        <f t="shared" si="3"/>
        <v>Eligiblity</v>
      </c>
      <c r="G6" t="str">
        <f t="shared" si="4"/>
        <v>NO</v>
      </c>
      <c r="H6" t="str">
        <f t="shared" si="5"/>
        <v>Grade C</v>
      </c>
    </row>
    <row r="7" spans="1:8" x14ac:dyDescent="0.3">
      <c r="A7">
        <v>18</v>
      </c>
      <c r="B7">
        <v>18</v>
      </c>
      <c r="C7" t="str">
        <f t="shared" si="0"/>
        <v>FALSE</v>
      </c>
      <c r="D7" t="str">
        <f t="shared" si="1"/>
        <v>false</v>
      </c>
      <c r="E7" t="str">
        <f t="shared" si="2"/>
        <v>Not Eligible</v>
      </c>
      <c r="F7" t="str">
        <f t="shared" si="3"/>
        <v>Not Eligiblity</v>
      </c>
      <c r="G7" t="str">
        <f t="shared" si="4"/>
        <v>YES</v>
      </c>
      <c r="H7" t="str">
        <f t="shared" si="5"/>
        <v>Grade F</v>
      </c>
    </row>
    <row r="8" spans="1:8" x14ac:dyDescent="0.3">
      <c r="A8">
        <v>72</v>
      </c>
      <c r="B8">
        <v>10</v>
      </c>
      <c r="C8" t="str">
        <f t="shared" si="0"/>
        <v>TRUE</v>
      </c>
      <c r="D8" t="str">
        <f t="shared" si="1"/>
        <v>false</v>
      </c>
      <c r="E8" t="str">
        <f t="shared" si="2"/>
        <v>Not Eligible</v>
      </c>
      <c r="F8" t="str">
        <f t="shared" si="3"/>
        <v>Eligiblity</v>
      </c>
      <c r="G8" t="str">
        <f t="shared" si="4"/>
        <v>NO</v>
      </c>
      <c r="H8" t="str">
        <f t="shared" si="5"/>
        <v>Grade C</v>
      </c>
    </row>
    <row r="9" spans="1:8" x14ac:dyDescent="0.3">
      <c r="A9">
        <v>15</v>
      </c>
      <c r="B9">
        <v>51</v>
      </c>
      <c r="C9" t="str">
        <f t="shared" si="0"/>
        <v>FALSE</v>
      </c>
      <c r="D9" t="str">
        <f t="shared" si="1"/>
        <v>true</v>
      </c>
      <c r="E9" t="str">
        <f t="shared" si="2"/>
        <v>Not Eligible</v>
      </c>
      <c r="F9" t="str">
        <f t="shared" si="3"/>
        <v>Eligiblity</v>
      </c>
      <c r="G9" t="str">
        <f t="shared" si="4"/>
        <v>YES</v>
      </c>
      <c r="H9" t="str">
        <f t="shared" si="5"/>
        <v>Grade F</v>
      </c>
    </row>
    <row r="10" spans="1:8" x14ac:dyDescent="0.3">
      <c r="A10">
        <v>39</v>
      </c>
      <c r="B10">
        <v>75</v>
      </c>
      <c r="C10" t="str">
        <f t="shared" si="0"/>
        <v>FALSE</v>
      </c>
      <c r="D10" t="str">
        <f t="shared" si="1"/>
        <v>true</v>
      </c>
      <c r="E10" t="str">
        <f t="shared" si="2"/>
        <v>Not Eligible</v>
      </c>
      <c r="F10" t="str">
        <f t="shared" si="3"/>
        <v>Eligiblity</v>
      </c>
      <c r="G10" t="str">
        <f t="shared" si="4"/>
        <v>YES</v>
      </c>
      <c r="H10" t="str">
        <f t="shared" si="5"/>
        <v>Grade F</v>
      </c>
    </row>
    <row r="11" spans="1:8" x14ac:dyDescent="0.3">
      <c r="A11">
        <v>52</v>
      </c>
      <c r="B11">
        <v>56</v>
      </c>
      <c r="C11" t="str">
        <f t="shared" si="0"/>
        <v>TRUE</v>
      </c>
      <c r="D11" t="str">
        <f t="shared" si="1"/>
        <v>true</v>
      </c>
      <c r="E11" t="str">
        <f t="shared" si="2"/>
        <v>Eligible</v>
      </c>
      <c r="F11" t="str">
        <f t="shared" si="3"/>
        <v>Eligiblity</v>
      </c>
      <c r="G11" t="str">
        <f t="shared" si="4"/>
        <v>NO</v>
      </c>
      <c r="H11" t="str">
        <f t="shared" si="5"/>
        <v>Grade C</v>
      </c>
    </row>
    <row r="12" spans="1:8" x14ac:dyDescent="0.3">
      <c r="A12">
        <v>52</v>
      </c>
      <c r="B12">
        <v>67</v>
      </c>
      <c r="C12" t="str">
        <f t="shared" si="0"/>
        <v>TRUE</v>
      </c>
      <c r="D12" t="str">
        <f t="shared" si="1"/>
        <v>true</v>
      </c>
      <c r="E12" t="str">
        <f t="shared" si="2"/>
        <v>Eligible</v>
      </c>
      <c r="F12" t="str">
        <f t="shared" si="3"/>
        <v>Eligiblity</v>
      </c>
      <c r="G12" t="str">
        <f t="shared" si="4"/>
        <v>NO</v>
      </c>
      <c r="H12" t="str">
        <f t="shared" si="5"/>
        <v>Grade C</v>
      </c>
    </row>
    <row r="13" spans="1:8" x14ac:dyDescent="0.3">
      <c r="A13">
        <v>20</v>
      </c>
      <c r="B13">
        <v>92</v>
      </c>
      <c r="C13" t="str">
        <f t="shared" si="0"/>
        <v>FALSE</v>
      </c>
      <c r="D13" t="str">
        <f t="shared" si="1"/>
        <v>true</v>
      </c>
      <c r="E13" t="str">
        <f t="shared" si="2"/>
        <v>Not Eligible</v>
      </c>
      <c r="F13" t="str">
        <f t="shared" si="3"/>
        <v>Eligiblity</v>
      </c>
      <c r="G13" t="str">
        <f t="shared" si="4"/>
        <v>YES</v>
      </c>
      <c r="H13" t="str">
        <f t="shared" si="5"/>
        <v>Grade F</v>
      </c>
    </row>
    <row r="18" spans="1:11" x14ac:dyDescent="0.3">
      <c r="A18" t="s">
        <v>6</v>
      </c>
      <c r="B18" t="s">
        <v>20</v>
      </c>
      <c r="D18" s="3" t="s">
        <v>6</v>
      </c>
      <c r="E18" s="3" t="s">
        <v>20</v>
      </c>
      <c r="F18" s="3" t="s">
        <v>43</v>
      </c>
      <c r="G18" s="3" t="s">
        <v>44</v>
      </c>
      <c r="H18" s="3" t="s">
        <v>45</v>
      </c>
      <c r="I18" s="3" t="s">
        <v>46</v>
      </c>
    </row>
    <row r="19" spans="1:11" x14ac:dyDescent="0.3">
      <c r="A19" t="b">
        <v>0</v>
      </c>
      <c r="B19" t="b">
        <v>0</v>
      </c>
      <c r="D19" s="4">
        <v>0</v>
      </c>
      <c r="E19" s="4">
        <v>0</v>
      </c>
      <c r="F19" s="5">
        <v>0</v>
      </c>
      <c r="G19" s="5">
        <v>0</v>
      </c>
      <c r="H19" s="5">
        <v>1</v>
      </c>
      <c r="I19" s="5">
        <v>1</v>
      </c>
      <c r="K19" t="s">
        <v>47</v>
      </c>
    </row>
    <row r="20" spans="1:11" x14ac:dyDescent="0.3">
      <c r="A20" t="b">
        <v>0</v>
      </c>
      <c r="B20" t="b">
        <v>1</v>
      </c>
      <c r="D20" s="4">
        <v>0</v>
      </c>
      <c r="E20" s="4">
        <v>1</v>
      </c>
      <c r="F20" s="5">
        <v>0</v>
      </c>
      <c r="G20" s="5">
        <v>1</v>
      </c>
      <c r="H20" s="5">
        <v>1</v>
      </c>
      <c r="I20" s="5">
        <v>0</v>
      </c>
      <c r="K20" t="s">
        <v>48</v>
      </c>
    </row>
    <row r="21" spans="1:11" x14ac:dyDescent="0.3">
      <c r="A21" t="b">
        <v>1</v>
      </c>
      <c r="B21" t="b">
        <v>0</v>
      </c>
      <c r="D21" s="4">
        <v>1</v>
      </c>
      <c r="E21" s="4">
        <v>0</v>
      </c>
      <c r="F21" s="5">
        <v>0</v>
      </c>
      <c r="G21" s="5">
        <v>1</v>
      </c>
      <c r="H21" s="5">
        <v>0</v>
      </c>
      <c r="I21" s="5">
        <v>1</v>
      </c>
    </row>
    <row r="22" spans="1:11" x14ac:dyDescent="0.3">
      <c r="A22" t="b">
        <v>1</v>
      </c>
      <c r="B22" t="b">
        <v>1</v>
      </c>
      <c r="D22" s="4">
        <v>1</v>
      </c>
      <c r="E22" s="4">
        <v>1</v>
      </c>
      <c r="F22" s="5">
        <v>1</v>
      </c>
      <c r="G22" s="5">
        <v>1</v>
      </c>
      <c r="H22" s="5">
        <v>0</v>
      </c>
      <c r="I22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C5A1-EC07-456B-AF51-431D42B5BEB1}">
  <dimension ref="A1:K6"/>
  <sheetViews>
    <sheetView workbookViewId="0">
      <selection activeCell="E17" sqref="E17"/>
    </sheetView>
  </sheetViews>
  <sheetFormatPr defaultRowHeight="14.4" x14ac:dyDescent="0.3"/>
  <cols>
    <col min="4" max="4" width="10.33203125" bestFit="1" customWidth="1"/>
    <col min="7" max="7" width="12.33203125" bestFit="1" customWidth="1"/>
    <col min="9" max="9" width="12.109375" bestFit="1" customWidth="1"/>
    <col min="10" max="10" width="11.21875" bestFit="1" customWidth="1"/>
    <col min="11" max="11" width="17.77734375" bestFit="1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3">
      <c r="A2">
        <v>1</v>
      </c>
      <c r="B2" t="s">
        <v>56</v>
      </c>
      <c r="C2">
        <v>12000</v>
      </c>
      <c r="D2">
        <v>0.95</v>
      </c>
      <c r="E2" t="s">
        <v>61</v>
      </c>
      <c r="G2" t="str">
        <f>IF(C2&gt;=10000,"meet Target","Missed Target")</f>
        <v>meet Target</v>
      </c>
      <c r="H2" t="str">
        <f>IF(AND(C2&gt;=10000,E2="Yes"),"YES","NO")</f>
        <v>YES</v>
      </c>
      <c r="I2" t="str">
        <f>IF(OR(C2&lt;9000,D2&lt;0.9),"Eligible","Not Eligible")</f>
        <v>Not Eligible</v>
      </c>
      <c r="J2" t="str">
        <f>IF(NOT(E2="yes"),"INCOMPLETE","COMPLETED")</f>
        <v>COMPLETED</v>
      </c>
      <c r="K2" t="str">
        <f>IF(C2&gt;=12000,"ELITE",IF(C3&gt;=8000,"Standard",IF(C4&lt;8000,"Needs Improvement")))</f>
        <v>ELITE</v>
      </c>
    </row>
    <row r="3" spans="1:11" x14ac:dyDescent="0.3">
      <c r="A3">
        <v>2</v>
      </c>
      <c r="B3" t="s">
        <v>57</v>
      </c>
      <c r="C3">
        <v>8000</v>
      </c>
      <c r="D3">
        <v>0.88</v>
      </c>
      <c r="E3" t="s">
        <v>62</v>
      </c>
      <c r="G3" t="str">
        <f t="shared" ref="G3:G6" si="0">IF(C3&gt;=10000,"meet Target","Missed Target")</f>
        <v>Missed Target</v>
      </c>
      <c r="H3" t="str">
        <f t="shared" ref="H3:H6" si="1">IF(AND(C3&gt;=10000,E3="Yes"),"YES","NO")</f>
        <v>NO</v>
      </c>
      <c r="I3" t="str">
        <f t="shared" ref="I3:I6" si="2">IF(OR(C3&lt;9000,D3&lt;0.9),"Eligible","Not Eligible")</f>
        <v>Eligible</v>
      </c>
      <c r="J3" t="str">
        <f t="shared" ref="J3:J6" si="3">IF(NOT(E3="yes"),"INCOMPLETE","COMPLETED")</f>
        <v>INCOMPLETE</v>
      </c>
      <c r="K3" t="str">
        <f t="shared" ref="K3:K6" si="4">IF(C3&gt;=12000,"ELITE",IF(C4&gt;=8000,"Standard",IF(C5&lt;8000,"Needs Improvement")))</f>
        <v>Standard</v>
      </c>
    </row>
    <row r="4" spans="1:11" x14ac:dyDescent="0.3">
      <c r="A4">
        <v>3</v>
      </c>
      <c r="B4" t="s">
        <v>58</v>
      </c>
      <c r="C4">
        <v>15000</v>
      </c>
      <c r="D4">
        <v>0.75</v>
      </c>
      <c r="E4" t="s">
        <v>61</v>
      </c>
      <c r="G4" t="str">
        <f t="shared" si="0"/>
        <v>meet Target</v>
      </c>
      <c r="H4" t="str">
        <f t="shared" si="1"/>
        <v>YES</v>
      </c>
      <c r="I4" t="str">
        <f t="shared" si="2"/>
        <v>Eligible</v>
      </c>
      <c r="J4" t="str">
        <f t="shared" si="3"/>
        <v>COMPLETED</v>
      </c>
      <c r="K4" t="str">
        <f t="shared" si="4"/>
        <v>ELITE</v>
      </c>
    </row>
    <row r="5" spans="1:11" x14ac:dyDescent="0.3">
      <c r="A5">
        <v>4</v>
      </c>
      <c r="B5" t="s">
        <v>59</v>
      </c>
      <c r="C5">
        <v>5000</v>
      </c>
      <c r="D5">
        <v>0.92</v>
      </c>
      <c r="E5" t="s">
        <v>61</v>
      </c>
      <c r="G5" t="str">
        <f t="shared" si="0"/>
        <v>Missed Target</v>
      </c>
      <c r="H5" t="str">
        <f t="shared" si="1"/>
        <v>NO</v>
      </c>
      <c r="I5" t="str">
        <f t="shared" si="2"/>
        <v>Eligible</v>
      </c>
      <c r="J5" t="str">
        <f t="shared" si="3"/>
        <v>COMPLETED</v>
      </c>
      <c r="K5" t="str">
        <f t="shared" si="4"/>
        <v>Standard</v>
      </c>
    </row>
    <row r="6" spans="1:11" x14ac:dyDescent="0.3">
      <c r="A6">
        <v>5</v>
      </c>
      <c r="B6" t="s">
        <v>60</v>
      </c>
      <c r="C6">
        <v>9500</v>
      </c>
      <c r="D6">
        <v>0.91</v>
      </c>
      <c r="E6" t="s">
        <v>62</v>
      </c>
      <c r="G6" t="str">
        <f t="shared" si="0"/>
        <v>Missed Target</v>
      </c>
      <c r="H6" t="str">
        <f t="shared" si="1"/>
        <v>NO</v>
      </c>
      <c r="I6" t="str">
        <f t="shared" si="2"/>
        <v>Not Eligible</v>
      </c>
      <c r="J6" t="str">
        <f t="shared" si="3"/>
        <v>INCOMPLETE</v>
      </c>
      <c r="K6" t="str">
        <f t="shared" si="4"/>
        <v>Needs Improvement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F0C2-4459-4C93-8154-3B30EA81BB39}">
  <dimension ref="A1:E6"/>
  <sheetViews>
    <sheetView workbookViewId="0">
      <selection activeCell="A2" sqref="A2"/>
    </sheetView>
  </sheetViews>
  <sheetFormatPr defaultRowHeight="14.4" x14ac:dyDescent="0.3"/>
  <cols>
    <col min="2" max="2" width="20.33203125" customWidth="1"/>
    <col min="3" max="3" width="20.21875" customWidth="1"/>
  </cols>
  <sheetData>
    <row r="1" spans="1:5" x14ac:dyDescent="0.3">
      <c r="A1" t="s">
        <v>68</v>
      </c>
      <c r="B1" t="s">
        <v>69</v>
      </c>
      <c r="C1" t="s">
        <v>70</v>
      </c>
      <c r="D1" t="s">
        <v>71</v>
      </c>
    </row>
    <row r="2" spans="1:5" x14ac:dyDescent="0.3">
      <c r="A2">
        <v>1000</v>
      </c>
      <c r="B2">
        <v>12</v>
      </c>
    </row>
    <row r="3" spans="1:5" x14ac:dyDescent="0.3">
      <c r="C3">
        <f>A2*B2</f>
        <v>12000</v>
      </c>
      <c r="D3">
        <v>0.1</v>
      </c>
      <c r="E3">
        <f>C3*D3</f>
        <v>1200</v>
      </c>
    </row>
    <row r="6" spans="1:5" x14ac:dyDescent="0.3">
      <c r="A6">
        <f>A2*2</f>
        <v>2000</v>
      </c>
      <c r="C6">
        <f>A2/2</f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AC2E-0ACB-4840-A9B6-CA31B2A833A4}">
  <dimension ref="A1:K11"/>
  <sheetViews>
    <sheetView tabSelected="1" workbookViewId="0">
      <selection activeCell="K4" sqref="K4:K9"/>
    </sheetView>
  </sheetViews>
  <sheetFormatPr defaultRowHeight="14.4" x14ac:dyDescent="0.3"/>
  <sheetData>
    <row r="1" spans="1:11" x14ac:dyDescent="0.3">
      <c r="A1" t="s">
        <v>23</v>
      </c>
      <c r="B1">
        <v>2025</v>
      </c>
      <c r="C1">
        <v>2026</v>
      </c>
    </row>
    <row r="2" spans="1:11" x14ac:dyDescent="0.3">
      <c r="A2" t="s">
        <v>6</v>
      </c>
      <c r="B2">
        <v>64</v>
      </c>
      <c r="C2">
        <v>44</v>
      </c>
    </row>
    <row r="3" spans="1:11" x14ac:dyDescent="0.3">
      <c r="A3" t="s">
        <v>20</v>
      </c>
      <c r="B3">
        <v>81</v>
      </c>
      <c r="C3">
        <v>53</v>
      </c>
    </row>
    <row r="4" spans="1:11" x14ac:dyDescent="0.3">
      <c r="A4" t="s">
        <v>72</v>
      </c>
      <c r="B4">
        <v>66</v>
      </c>
      <c r="C4">
        <v>25</v>
      </c>
      <c r="H4">
        <v>1</v>
      </c>
      <c r="K4">
        <v>1</v>
      </c>
    </row>
    <row r="5" spans="1:11" x14ac:dyDescent="0.3">
      <c r="A5" t="s">
        <v>6</v>
      </c>
      <c r="B5">
        <v>18</v>
      </c>
      <c r="C5">
        <v>18</v>
      </c>
      <c r="F5">
        <f>SUM(Sales_2026)</f>
        <v>491</v>
      </c>
      <c r="H5">
        <v>2</v>
      </c>
      <c r="K5">
        <v>2</v>
      </c>
    </row>
    <row r="6" spans="1:11" x14ac:dyDescent="0.3">
      <c r="A6" t="s">
        <v>20</v>
      </c>
      <c r="B6">
        <v>72</v>
      </c>
      <c r="C6">
        <v>10</v>
      </c>
      <c r="H6">
        <v>3</v>
      </c>
      <c r="J6">
        <f>SUM(sales_id)</f>
        <v>15</v>
      </c>
      <c r="K6">
        <v>3</v>
      </c>
    </row>
    <row r="7" spans="1:11" x14ac:dyDescent="0.3">
      <c r="A7" t="s">
        <v>72</v>
      </c>
      <c r="B7">
        <v>15</v>
      </c>
      <c r="C7">
        <v>51</v>
      </c>
      <c r="H7">
        <v>4</v>
      </c>
      <c r="K7">
        <v>4</v>
      </c>
    </row>
    <row r="8" spans="1:11" x14ac:dyDescent="0.3">
      <c r="A8" t="s">
        <v>6</v>
      </c>
      <c r="B8">
        <v>39</v>
      </c>
      <c r="C8">
        <v>75</v>
      </c>
      <c r="H8">
        <v>5</v>
      </c>
      <c r="K8">
        <v>5</v>
      </c>
    </row>
    <row r="9" spans="1:11" x14ac:dyDescent="0.3">
      <c r="A9" t="s">
        <v>20</v>
      </c>
      <c r="B9">
        <v>52</v>
      </c>
      <c r="C9">
        <v>56</v>
      </c>
      <c r="K9">
        <v>6</v>
      </c>
    </row>
    <row r="10" spans="1:11" x14ac:dyDescent="0.3">
      <c r="A10" t="s">
        <v>72</v>
      </c>
      <c r="B10">
        <v>52</v>
      </c>
      <c r="C10">
        <v>67</v>
      </c>
    </row>
    <row r="11" spans="1:11" x14ac:dyDescent="0.3">
      <c r="A11" t="s">
        <v>6</v>
      </c>
      <c r="B11">
        <v>20</v>
      </c>
      <c r="C1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data type</vt:lpstr>
      <vt:lpstr>Random Between</vt:lpstr>
      <vt:lpstr>Sheet3</vt:lpstr>
      <vt:lpstr>Sheet4</vt:lpstr>
      <vt:lpstr>Sheet1</vt:lpstr>
      <vt:lpstr>Sheet2</vt:lpstr>
      <vt:lpstr>Sheet5</vt:lpstr>
      <vt:lpstr>Sheet6</vt:lpstr>
      <vt:lpstr>Sheet7</vt:lpstr>
      <vt:lpstr>Sales_2025</vt:lpstr>
      <vt:lpstr>Sales_2026</vt:lpstr>
      <vt:lpstr>sales_id</vt:lpstr>
      <vt:lpstr>simple_id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ARSHIGA R.S</dc:creator>
  <cp:lastModifiedBy>ARSHIGA R.S</cp:lastModifiedBy>
  <dcterms:created xsi:type="dcterms:W3CDTF">2026-10-26T05:30:14Z</dcterms:created>
  <dcterms:modified xsi:type="dcterms:W3CDTF">2026-10-28T06:59:33Z</dcterms:modified>
</cp:coreProperties>
</file>